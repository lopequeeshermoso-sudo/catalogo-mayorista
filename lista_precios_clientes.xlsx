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A A CATÁLOGOS\1A CATÁLOGO MAYORISTA FINAL 2026\"/>
    </mc:Choice>
  </mc:AlternateContent>
  <xr:revisionPtr revIDLastSave="0" documentId="13_ncr:1_{B2B0CABC-135D-471E-9CDD-B42D67DE7CB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M16" i="1"/>
  <c r="L16" i="1"/>
  <c r="K16" i="1"/>
  <c r="J16" i="1"/>
  <c r="I16" i="1"/>
  <c r="G16" i="1"/>
  <c r="C24" i="1" s="1"/>
  <c r="F16" i="1"/>
  <c r="F26" i="1" s="1"/>
  <c r="H16" i="1"/>
  <c r="M29" i="1"/>
  <c r="L29" i="1"/>
  <c r="K29" i="1"/>
  <c r="J29" i="1"/>
  <c r="F29" i="1"/>
  <c r="G29" i="1"/>
  <c r="H29" i="1"/>
  <c r="I29" i="1"/>
  <c r="E29" i="1"/>
  <c r="C25" i="1"/>
  <c r="C23" i="1"/>
  <c r="C22" i="1"/>
  <c r="C21" i="1"/>
  <c r="C20" i="1"/>
  <c r="C19" i="1"/>
  <c r="C13" i="1"/>
  <c r="C12" i="1"/>
  <c r="C11" i="1"/>
  <c r="C10" i="1"/>
  <c r="C9" i="1"/>
  <c r="I18" i="1"/>
  <c r="H18" i="1"/>
  <c r="G18" i="1"/>
  <c r="F18" i="1"/>
  <c r="E18" i="1"/>
  <c r="D17" i="1"/>
  <c r="E15" i="1"/>
  <c r="F15" i="1"/>
  <c r="G15" i="1"/>
  <c r="H15" i="1"/>
  <c r="H14" i="1"/>
  <c r="G14" i="1"/>
  <c r="F14" i="1"/>
  <c r="E14" i="1"/>
  <c r="D14" i="1"/>
  <c r="E16" i="1"/>
</calcChain>
</file>

<file path=xl/sharedStrings.xml><?xml version="1.0" encoding="utf-8"?>
<sst xmlns="http://schemas.openxmlformats.org/spreadsheetml/2006/main" count="425" uniqueCount="225">
  <si>
    <t>LISTA MAYORISTA</t>
  </si>
  <si>
    <t>Lo Pequeño es Hermoso</t>
  </si>
  <si>
    <t>Actualizada automáticamente</t>
  </si>
  <si>
    <t>Categoría</t>
  </si>
  <si>
    <t>Producto</t>
  </si>
  <si>
    <t>Precio mayorista</t>
  </si>
  <si>
    <t>Set con 3 títeres</t>
  </si>
  <si>
    <t>Set con 4 títeres</t>
  </si>
  <si>
    <t>Set con 5 títeres</t>
  </si>
  <si>
    <t>Set con 6 títeres</t>
  </si>
  <si>
    <t>Set con 7 títeres</t>
  </si>
  <si>
    <t>Set con 8 títeres</t>
  </si>
  <si>
    <t>Set con 9 títeres</t>
  </si>
  <si>
    <t>Set con 10 títeres</t>
  </si>
  <si>
    <t>Set con 11 títeres</t>
  </si>
  <si>
    <t>Set con 12 títeres</t>
  </si>
  <si>
    <t>TÍTERES DE MANO</t>
  </si>
  <si>
    <t>Blancanieves y los Siete Enanitos. Títeres de Mano y de Dedo.</t>
  </si>
  <si>
    <t>Caperucita Roja. Títeres de Mano</t>
  </si>
  <si>
    <t>Cuento de Hadas. Títeres de Mano</t>
  </si>
  <si>
    <t>Cuento de Príncipe Sapo y su Princesa. Títeres de Mano</t>
  </si>
  <si>
    <t>El Circo Mágico. Títeres de Mano</t>
  </si>
  <si>
    <t>El Pesebre de Navideño. Títeres de Mano.</t>
  </si>
  <si>
    <t>Heroínas de Cuentos Clásicos. Títeres de Mano</t>
  </si>
  <si>
    <t>La Familia Monte Espino. Títeres de Mano</t>
  </si>
  <si>
    <t>La Granja Arcoíris. Títeres de Mano</t>
  </si>
  <si>
    <t>La Prehistoria: Dinosaurios y Cavernícolas. Títeres de mano.</t>
  </si>
  <si>
    <t>La Selva Africana. Títeres de Mano</t>
  </si>
  <si>
    <t>La Selva Misionera Argentina. Títeres de Mano</t>
  </si>
  <si>
    <t>La Sirenita. Títeres de Mano</t>
  </si>
  <si>
    <t>Las Emociones. Títeres de Mano de Nena</t>
  </si>
  <si>
    <t>Las Emociones. Títeres de Mano de Nene</t>
  </si>
  <si>
    <t>Los 3 Chanchitos y el Lobo Feroz . Títeres de Mano</t>
  </si>
  <si>
    <t>Los Esteros del Iberá. Títeres de Mano</t>
  </si>
  <si>
    <t>Los Piratas Siete Mares. Títeres de Mano</t>
  </si>
  <si>
    <t>Mis amigos los animalitos domésticos . Títeres de Mano</t>
  </si>
  <si>
    <t>Navidad. Títeres de Mano.</t>
  </si>
  <si>
    <t>Superhéroes. Títeres de Mano</t>
  </si>
  <si>
    <t>Títeres Patrios. Títeres de Mano</t>
  </si>
  <si>
    <t>TEATROS CON TÍTERES</t>
  </si>
  <si>
    <t>Teatro "El Circo Mágico" con Títeres de Artistas</t>
  </si>
  <si>
    <t>Teatro Barco con Títeres de Los Piratas de los Siete Mares.</t>
  </si>
  <si>
    <t>Teatro Bosque con Títeres del cuento "Los tres Chanchitos y el Lobo Feroz"</t>
  </si>
  <si>
    <t>Teatro Castillo con Títeres de Cuento de Hadas</t>
  </si>
  <si>
    <t>Teatro Castillo con Títeres de Heroínas de Cuentos Clásicos.</t>
  </si>
  <si>
    <t>Teatro Castillo con Títeres del Cuento "Príncipe Sapo y su Princesa"</t>
  </si>
  <si>
    <t>Teatro Ciudad con Títeres de La Familia Monte Espino</t>
  </si>
  <si>
    <t>Teatro Ciudad con Títeres de Nene y sus Emociones</t>
  </si>
  <si>
    <t>Teatro Ciudad con Títeres de nena y sus Emociones</t>
  </si>
  <si>
    <t>Teatro Ciudad con títeres de niños animalitos domésticos</t>
  </si>
  <si>
    <t>Teatro Fondo del mar con Títeres de "La Sirenita"</t>
  </si>
  <si>
    <t>Teatro Granja con Títeres de La Granja</t>
  </si>
  <si>
    <t>Teatro Prehistoria con Títeres de Dinosaurios y Cavernícolas</t>
  </si>
  <si>
    <t>Teatro Selva Misionera Argentina con Títeres de la Selva Misionera</t>
  </si>
  <si>
    <t>Teatro Selva con Títeres de la Selva Africana</t>
  </si>
  <si>
    <t>Teatro bosque con Títeres de Caperucita Roja</t>
  </si>
  <si>
    <t>Teatro bosque con títeres de Blancanieves y los Siete Enanitos</t>
  </si>
  <si>
    <t>Teatro ciudad con títeres de Superhéroes.</t>
  </si>
  <si>
    <t>Teatro de Títeres Didáctico Clásico para Escuelas y Jardines de Infantes</t>
  </si>
  <si>
    <t>Teatro de la Época Colonial con Títeres Patrios</t>
  </si>
  <si>
    <t>Teatro de los Esteros del Iberá Títeres de animales de los Esteros del Iberá</t>
  </si>
  <si>
    <t>MINITEATROS Y TÍTERES DE DEDO</t>
  </si>
  <si>
    <t>Mini teatro Barco Pirata con Títeres de dedo de Piratas</t>
  </si>
  <si>
    <t>Mini teatro Bosque con Títeres de dedo del Cuento Blancanieves y los Siete Enanitos</t>
  </si>
  <si>
    <t>Mini teatro Bosque con Títeres de dedo del Cuento de Caperucita Roja</t>
  </si>
  <si>
    <t>Mini teatro Bosque con Títeres de dedo del cuento Los Tres Chanchitos y el Lobo</t>
  </si>
  <si>
    <t>Mini teatro Castillo con Títeres de dedo de Cuento Príncipe Encantado</t>
  </si>
  <si>
    <t>Mini teatro Castillo con Títeres de dedo de Cuento de Hadas</t>
  </si>
  <si>
    <t>Mini teatro Castillo con Títeres de dedo de Heroínas de Cuento</t>
  </si>
  <si>
    <t>Mini teatro Circo con  Títeres de dedo de Artistas</t>
  </si>
  <si>
    <t>Mini teatro Ciudad con Títeres de dedo de  Animalitos Domésticos</t>
  </si>
  <si>
    <t>Mini teatro Ciudad con Títeres de dedo de La Familia</t>
  </si>
  <si>
    <t>Mini teatro Ciudad con Títeres de dedo de Superhéroes</t>
  </si>
  <si>
    <t>Mini teatro Fondo del Mar con Títeres de dedo de La Sirenita</t>
  </si>
  <si>
    <t>Mini teatro Prehistoria con Títeres de dedo de Dinosaurios y Cavernícolas</t>
  </si>
  <si>
    <t>Mini teatro Selva con Títeres de dedo de la Selva Africana</t>
  </si>
  <si>
    <t>Mini teatro de los Esteros del iberá con Títeres de dedo de animalitos de Los Esteros del Iberá</t>
  </si>
  <si>
    <t>Mini teatro granja con títeres de dedo de La Granja Arcoiris</t>
  </si>
  <si>
    <t>Miniteatro de Selva Misionera Argentina con Títeres de dedo de la Selva Misionera Argentina</t>
  </si>
  <si>
    <t>Títeres de dedo Pack x 10 unidades de animalitos</t>
  </si>
  <si>
    <t>Títeres de dedo de Animalitos domésticos</t>
  </si>
  <si>
    <t>Títeres de dedo de Caperucita roja</t>
  </si>
  <si>
    <t>Títeres de dedo de Cuento Príncipe Encantado</t>
  </si>
  <si>
    <t>Títeres de dedo de Cuento de Hadas</t>
  </si>
  <si>
    <t>Títeres de dedo de El Circo Mágico</t>
  </si>
  <si>
    <t>Títeres de dedo de Heroínas de cuento</t>
  </si>
  <si>
    <t>Títeres de dedo de La Familia Monte Espino</t>
  </si>
  <si>
    <t>Títeres de dedo de La Prehistoria</t>
  </si>
  <si>
    <t>Títeres de dedo de La Sirenita</t>
  </si>
  <si>
    <t>Títeres de dedo de Los Esteros del Iberá</t>
  </si>
  <si>
    <t>Títeres de dedo de Los Piratas Siete Mares</t>
  </si>
  <si>
    <t>Títeres de dedo de Los Tres Chanchitos y el lobo</t>
  </si>
  <si>
    <t>Títeres de dedo de Selva Africana</t>
  </si>
  <si>
    <t>Títeres de dedo de Selva Misionera</t>
  </si>
  <si>
    <t>Títeres de dedo de Superhéroes</t>
  </si>
  <si>
    <t>Títeres de dedo de granja</t>
  </si>
  <si>
    <t>Títeres de dedo del Cuento Blancanieves y los siete enanitos</t>
  </si>
  <si>
    <t>VALIJAS DIDÁCTICAS DE ARTE</t>
  </si>
  <si>
    <t>Bolsito Amasando ideas Elefante</t>
  </si>
  <si>
    <t>Bolsito Amasando ideas Espacio</t>
  </si>
  <si>
    <t>Bolsito Amasando ideas Gato automovilista</t>
  </si>
  <si>
    <t>Bolsito Amasando ideas Pajaritos</t>
  </si>
  <si>
    <t>Valija de Arte Mini Artista, Dinosaurios</t>
  </si>
  <si>
    <t>Valija de Arte Mini Artista, Haditas</t>
  </si>
  <si>
    <t>Valija de Arte Mini Artista, Piratas</t>
  </si>
  <si>
    <t>Valija de Arte Mini Artista, Ponis</t>
  </si>
  <si>
    <t>Valija de Arte Mini Artista, Sirenitas</t>
  </si>
  <si>
    <t>Valija de Arte Mini Artista, Superhéroes</t>
  </si>
  <si>
    <t>Valija de Arte Mis Diseños. Astronautas</t>
  </si>
  <si>
    <t>Valija de Arte Mis Diseños. Cocodrilo en Submarino</t>
  </si>
  <si>
    <t>Valija de Arte Mis Diseños. Gato Automovilista</t>
  </si>
  <si>
    <t>Valija de Arte Mis Diseños. Monstruos</t>
  </si>
  <si>
    <t>Valija de Arte Mis Diseños. Nena con Globos</t>
  </si>
  <si>
    <t>Valija de Arte Mis Diseños. Nena en Hamaca</t>
  </si>
  <si>
    <t>Valija de Arte Mis Diseños. Princesa</t>
  </si>
  <si>
    <t>Valija de Arte Mis Diseños. Robots</t>
  </si>
  <si>
    <t>Valija de Arte Mis Diseños. Unicornio</t>
  </si>
  <si>
    <t>VALIJAS DIDÁCTICAS DE OFICIO</t>
  </si>
  <si>
    <t>Bolsito Chef nena</t>
  </si>
  <si>
    <t>Bolsito Chef varón</t>
  </si>
  <si>
    <t>Bolsito Explorador Jirafas</t>
  </si>
  <si>
    <t>Bolsito Explorador África</t>
  </si>
  <si>
    <t>Bolsito Mini Peluquería</t>
  </si>
  <si>
    <t>Set de esqueleto y órganos del cuerpo humano para Docentes y Educadores</t>
  </si>
  <si>
    <t>Valija de Mini Chef nena</t>
  </si>
  <si>
    <t>Valija de Mini Chef varón</t>
  </si>
  <si>
    <t>Valija de Mini Doctor</t>
  </si>
  <si>
    <t>Valija de Mini Exploradores</t>
  </si>
  <si>
    <t>Valija de Mini Jardineros</t>
  </si>
  <si>
    <t>Valija de Mini Maestra</t>
  </si>
  <si>
    <t>Valija de Mini Maestro</t>
  </si>
  <si>
    <t>Valija de Mini Spa</t>
  </si>
  <si>
    <t>Valija de Mini Veterinarios</t>
  </si>
  <si>
    <t>Valija de Tarde de Mate</t>
  </si>
  <si>
    <t>Valija de Tardes de Té</t>
  </si>
  <si>
    <t>DISFRACES PARA NENAS</t>
  </si>
  <si>
    <t>Disfraz de Anna (Frozen)</t>
  </si>
  <si>
    <t>Disfraz de Bella</t>
  </si>
  <si>
    <t>Disfraz de Blancanieves</t>
  </si>
  <si>
    <t>Disfraz de Cenicienta</t>
  </si>
  <si>
    <t>Disfraz de Elsa (Frozen)</t>
  </si>
  <si>
    <t>Disfraz de Mira K-Pop Demon Hunters</t>
  </si>
  <si>
    <t>Disfraz de Moana</t>
  </si>
  <si>
    <t>Disfraz de Mujer Maravilla</t>
  </si>
  <si>
    <t>Disfraz de Princesa Aurora,  La Bella Durmiente</t>
  </si>
  <si>
    <t>Disfraz de Rapunzel Encantada</t>
  </si>
  <si>
    <t>Disfraz de Rumi K-Pop Demon Hunters</t>
  </si>
  <si>
    <t>Disfraz de Rumi K-Pop Demon Hunters (Traje de colores con Chaqueta amarilla)</t>
  </si>
  <si>
    <t>Disfraz de Rumi K-Pop Demon Hunters, con Chaqueta y encanto dorado</t>
  </si>
  <si>
    <t>Disfraz de Sirenita</t>
  </si>
  <si>
    <t>Disfraz de Unicornio Mágico</t>
  </si>
  <si>
    <t>Disfraz de Zoey  K-Pop Demon Hunters</t>
  </si>
  <si>
    <t>Tutú de Bailarina Unicornio</t>
  </si>
  <si>
    <t>Tutú de bailarina</t>
  </si>
  <si>
    <t>DISFRACES PARA NENES</t>
  </si>
  <si>
    <t>Disfraz de Batman</t>
  </si>
  <si>
    <t>Disfraz de Bombero</t>
  </si>
  <si>
    <t>Disfraz de Capitán América</t>
  </si>
  <si>
    <t>Disfraz de Hombre Araña</t>
  </si>
  <si>
    <t>Disfraz de Pirata</t>
  </si>
  <si>
    <t>Disfraz de Policía</t>
  </si>
  <si>
    <t>Disfraz de Superman</t>
  </si>
  <si>
    <t>DISFRACES DE ANIMALITOS</t>
  </si>
  <si>
    <t>Disfraz de Araña</t>
  </si>
  <si>
    <t>Disfraz de Cebra</t>
  </si>
  <si>
    <t>Disfraz de Dinosaurio</t>
  </si>
  <si>
    <t>Disfraz de Tigre</t>
  </si>
  <si>
    <t>DISFRACES DE HALLOWEEN</t>
  </si>
  <si>
    <t>Caramelera Calabaza</t>
  </si>
  <si>
    <t>Disfraz de Brujita Fuxia</t>
  </si>
  <si>
    <t>Disfraz de Brujita Naranja</t>
  </si>
  <si>
    <t>Disfraz de Brujita Verde</t>
  </si>
  <si>
    <t>Disfraz de Brujita Violeta</t>
  </si>
  <si>
    <t>Disfraz de Calabaza</t>
  </si>
  <si>
    <t>Disfraz de Esqueleto</t>
  </si>
  <si>
    <t>Disfraz de Merlina</t>
  </si>
  <si>
    <t>Disfraz de Vampira</t>
  </si>
  <si>
    <t>JUGUETES PARA BEBÉS</t>
  </si>
  <si>
    <t>Cesto para juguetes Cactus</t>
  </si>
  <si>
    <t>Cesto para juguetes Cebra y Jirafa</t>
  </si>
  <si>
    <t>Cesto para juguetes Gatitos</t>
  </si>
  <si>
    <t>Cesto para juguetes Indi</t>
  </si>
  <si>
    <t>Globo Pelota Animalitos</t>
  </si>
  <si>
    <t>Globo Pelota Dinosaurios</t>
  </si>
  <si>
    <t>Globo Pelota Gatitos</t>
  </si>
  <si>
    <t>Globo Pelota Haditas</t>
  </si>
  <si>
    <t>Globo Pelota Monstruos</t>
  </si>
  <si>
    <t>Globo Pelota Selva</t>
  </si>
  <si>
    <t>Libro para bebé "Coral"</t>
  </si>
  <si>
    <t>Libro para bebé "Cosquillitas"</t>
  </si>
  <si>
    <t>Libro para bebé "Mariposas"</t>
  </si>
  <si>
    <t>Manta para bebé "Animalitos de la Selva"</t>
  </si>
  <si>
    <t>Manta para bebé "La Ciudad"</t>
  </si>
  <si>
    <t>Manta para bebé "Mininos"</t>
  </si>
  <si>
    <t>Pelota de Trapo  Animalitos</t>
  </si>
  <si>
    <t>Pelota de Trapo  Dinosaurios</t>
  </si>
  <si>
    <t>Pelota de Trapo Gatitos</t>
  </si>
  <si>
    <t>Pelota de Trapo Selva</t>
  </si>
  <si>
    <t>Pulpitos Reversibles con dos emociones (alegre/ enojado)</t>
  </si>
  <si>
    <t>Rayuela de tela para aprender los números jugando</t>
  </si>
  <si>
    <t>MUÑECAS DE TRAPO</t>
  </si>
  <si>
    <t>Muñeca Piccolina Aurora</t>
  </si>
  <si>
    <t>Muñeca Piccolina Bella</t>
  </si>
  <si>
    <t>Muñeca Piccolina Blancanieves</t>
  </si>
  <si>
    <t>Muñeca Piccolina Cenicienta</t>
  </si>
  <si>
    <t>Muñeca Piccolina Coqueta</t>
  </si>
  <si>
    <t>Muñeca Piccolina Deportiva</t>
  </si>
  <si>
    <t>Muñeca Piccolina Folk</t>
  </si>
  <si>
    <t>Muñeca Piccolina Jardinera</t>
  </si>
  <si>
    <t>Muñeca Piccolina Rapunsel</t>
  </si>
  <si>
    <t>Muñeca Piccolina Romántica</t>
  </si>
  <si>
    <t>Muñeca Piccolina Sofía</t>
  </si>
  <si>
    <t>Muñeca Piccolina doctora</t>
  </si>
  <si>
    <t>Traje de doctora para muñecas</t>
  </si>
  <si>
    <t>Traje de jardinera para muñecas</t>
  </si>
  <si>
    <t>Traje deportivo para muñecas</t>
  </si>
  <si>
    <t>Vestido campesino para muñecas</t>
  </si>
  <si>
    <t>Vestido coqueta para muñecas</t>
  </si>
  <si>
    <t>Vestido de Aurora para muñecas</t>
  </si>
  <si>
    <t>Vestido de Bella para muñecas</t>
  </si>
  <si>
    <t>Vestido de Blancanieves para muñecas</t>
  </si>
  <si>
    <t>Vestido de Cenicienta para muñecas</t>
  </si>
  <si>
    <t>Vestido de Princesa Sofía para muñecas</t>
  </si>
  <si>
    <t>Vestido de Rapunzel para muñecas</t>
  </si>
  <si>
    <t>Vestido romántico para muñecas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</si>
</sst>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5" x14ac:knownFonts="1">
    <font>
      <sz val="11"/>
      <color theme="1"/>
      <name val="Calibri"/>
      <family val="2"/>
      <scheme val="minor"/>
    </font>
    <font>
      <b/>
      <sz val="20"/>
      <name val="Calibri"/>
    </font>
    <font>
      <b/>
      <sz val="16"/>
      <name val="Calibri"/>
    </font>
    <font>
      <sz val="12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D8C0"/>
        <bgColor rgb="FFE8D8C0"/>
      </patternFill>
    </fill>
    <fill>
      <patternFill patternType="solid">
        <fgColor rgb="FFF9E4C8"/>
        <bgColor rgb="FFF9E4C8"/>
      </patternFill>
    </fill>
    <fill>
      <patternFill patternType="solid">
        <fgColor rgb="FFF4A62A"/>
        <bgColor rgb="FFF4A62A"/>
      </patternFill>
    </fill>
    <fill>
      <patternFill patternType="solid">
        <fgColor rgb="FFFFF2E2"/>
        <bgColor rgb="FFFFF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164" fontId="0" fillId="5" borderId="0" xfId="0" applyNumberFormat="1" applyFill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2" fillId="4" borderId="0" xfId="0" applyFont="1" applyFill="1" applyAlignment="1">
      <alignment horizontal="left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LO%20PEQUE&#209;O%20ES%20HERMOSO\A%20-COSTOS\COSTOS%20LO%20PEQUE&#209;O%20ES%20HERMOSO.xlsx" TargetMode="External"/><Relationship Id="rId1" Type="http://schemas.openxmlformats.org/officeDocument/2006/relationships/externalLinkPath" Target="file:///E:\LO%20PEQUE&#209;O%20ES%20HERMOSO\A%20-COSTOS\COSTOS%20LO%20PEQUE&#209;O%20ES%20HERMOS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RÍLICOS"/>
      <sheetName val="BON VOYAGE"/>
      <sheetName val="ESCOLARES"/>
      <sheetName val="LISTADO BASE 2017"/>
      <sheetName val="DISFRACES BAJO COSTO 2026"/>
      <sheetName val="DISFRACES LO PEQUE 2025"/>
      <sheetName val="COSTO IMPRESIONES PLOTTER"/>
      <sheetName val="VENTA MAYORISTA 35%"/>
      <sheetName val="PATÍN"/>
      <sheetName val="DEPORTIVO Y PATÍN"/>
      <sheetName val="SICOTERAPÉUTICO"/>
      <sheetName val="LOPEQUE DECO"/>
      <sheetName val="BALLET LO PEQUE"/>
      <sheetName val="DISFRACES LO PEQUE 2023"/>
      <sheetName val="DEPORTIVO 2024"/>
      <sheetName val="COSTOS DE IMPRESIÓN"/>
      <sheetName val="COSTOS EDU WITTY 2018"/>
      <sheetName val="COSTOS EDU WITTY NENAS"/>
      <sheetName val="BOLSAS DE TELA"/>
      <sheetName val="WITTY 2021"/>
      <sheetName val="JUEGOS Y ENCASTRES"/>
      <sheetName val="PRECIOS BALLET"/>
      <sheetName val="DISFRACES LO PEQUE"/>
      <sheetName val="MADERITAS"/>
      <sheetName val="COSTOS DETALLADOS"/>
      <sheetName val="COSTOS EDUCANDO"/>
      <sheetName val="PRECIOS WITTY - EDU-"/>
      <sheetName val="LOPEQUEBB 2020"/>
      <sheetName val="TUS BOLSAS "/>
      <sheetName val="COSTOS PACKING ENVÍOS"/>
      <sheetName val="EDU WITTY 2020"/>
      <sheetName val="COSTOS EDU WITTY"/>
      <sheetName val="COSTOS EDU WITTY TEJIDO"/>
      <sheetName val="PRECIOS ARTE GOURMET"/>
      <sheetName val="ARTE GOURMET"/>
      <sheetName val="LO PEQUE BB 2017"/>
      <sheetName val="LISTA DE PRECIOS PEKKEN"/>
      <sheetName val="PEKKEN 2019"/>
      <sheetName val="VOLSKVAGEN"/>
      <sheetName val="CARO VALDERREY"/>
      <sheetName val="LOPEQUE 2019"/>
      <sheetName val="COSTOS LASER SIN ESTAMPADO"/>
      <sheetName val="INVENTARIO SET 2017"/>
      <sheetName val="COSTOS EDU MIX"/>
      <sheetName val="COSTOS LO PEQUE 2017"/>
      <sheetName val="COSTOS DETALLADOS 2016"/>
      <sheetName val="inventario 2016"/>
      <sheetName val="COSTOS EDUCANDO y MIX 2016"/>
      <sheetName val="COSTOS EDU WITTY A"/>
      <sheetName val="COSTOS EDUCANDO (2)"/>
      <sheetName val="SALUD MUNDIAL"/>
      <sheetName val="COSTOS TUS BOLSAS"/>
      <sheetName val="presup de materiales p pedidos"/>
      <sheetName val="INVENTARIO DE PRODUCTO TERMINAD"/>
      <sheetName val=" INVENTARIO DE MATERIAS PRIMAS"/>
      <sheetName val="HOJA BASE LASER"/>
      <sheetName val="LISTADO BASE"/>
      <sheetName val="VENTA MAYORISTA 50%"/>
      <sheetName val="NUEVO RUMBO"/>
      <sheetName val="COSTOS EDU WITTY ILUSIONARTE"/>
      <sheetName val="CAFH - CAP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F1">
            <v>5545.1306820276686</v>
          </cell>
          <cell r="H1">
            <v>3805.9063070276693</v>
          </cell>
          <cell r="CW1">
            <v>41963.150036479696</v>
          </cell>
          <cell r="EC1">
            <v>29915.930860585519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6"/>
  <sheetViews>
    <sheetView tabSelected="1" workbookViewId="0">
      <pane xSplit="2" ySplit="6" topLeftCell="C21" activePane="bottomRight" state="frozen"/>
      <selection pane="topRight"/>
      <selection pane="bottomLeft"/>
      <selection pane="bottomRight" activeCell="E16" sqref="E16"/>
    </sheetView>
  </sheetViews>
  <sheetFormatPr baseColWidth="10" defaultColWidth="9.140625" defaultRowHeight="15" x14ac:dyDescent="0.25"/>
  <cols>
    <col min="1" max="1" width="28" customWidth="1"/>
    <col min="2" max="2" width="53" customWidth="1"/>
    <col min="3" max="13" width="20" customWidth="1"/>
  </cols>
  <sheetData>
    <row r="1" spans="1:13" ht="26.25" x14ac:dyDescent="0.4">
      <c r="A1" s="5" t="s">
        <v>0</v>
      </c>
      <c r="B1" s="6"/>
      <c r="C1" s="6"/>
      <c r="D1" s="6"/>
      <c r="E1" s="6"/>
      <c r="F1" s="6"/>
      <c r="G1" s="6"/>
      <c r="H1" s="6"/>
    </row>
    <row r="2" spans="1:13" ht="21" x14ac:dyDescent="0.35">
      <c r="A2" s="9" t="s">
        <v>1</v>
      </c>
      <c r="B2" s="6"/>
      <c r="C2" s="6"/>
      <c r="D2" s="6"/>
      <c r="E2" s="6"/>
      <c r="F2" s="6"/>
      <c r="G2" s="6"/>
      <c r="H2" s="6"/>
    </row>
    <row r="3" spans="1:13" ht="15.75" x14ac:dyDescent="0.25">
      <c r="A3" s="8" t="s">
        <v>2</v>
      </c>
      <c r="B3" s="6"/>
      <c r="C3" s="6"/>
      <c r="D3" s="6"/>
      <c r="E3" s="6"/>
      <c r="F3" s="6"/>
      <c r="G3" s="6"/>
      <c r="H3" s="6"/>
    </row>
    <row r="6" spans="1:13" x14ac:dyDescent="0.25">
      <c r="A6" s="1" t="s">
        <v>3</v>
      </c>
      <c r="B6" s="1" t="s">
        <v>4</v>
      </c>
      <c r="C6" s="2" t="s">
        <v>5</v>
      </c>
      <c r="D6" s="1" t="s">
        <v>6</v>
      </c>
      <c r="E6" s="1" t="s">
        <v>7</v>
      </c>
      <c r="F6" s="1" t="s">
        <v>8</v>
      </c>
      <c r="G6" s="1" t="s">
        <v>9</v>
      </c>
      <c r="H6" s="1" t="s">
        <v>10</v>
      </c>
      <c r="I6" s="1" t="s">
        <v>11</v>
      </c>
      <c r="J6" s="1" t="s">
        <v>12</v>
      </c>
      <c r="K6" s="1" t="s">
        <v>13</v>
      </c>
      <c r="L6" s="1" t="s">
        <v>14</v>
      </c>
      <c r="M6" s="1" t="s">
        <v>15</v>
      </c>
    </row>
    <row r="7" spans="1:13" ht="27.95" customHeight="1" x14ac:dyDescent="0.35">
      <c r="A7" s="7" t="s">
        <v>16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 x14ac:dyDescent="0.25">
      <c r="A8" t="s">
        <v>16</v>
      </c>
      <c r="B8" t="s">
        <v>17</v>
      </c>
      <c r="C8" s="3">
        <f>+'[1]VENTA MAYORISTA 35%'!$EC$1</f>
        <v>29915.930860585519</v>
      </c>
    </row>
    <row r="9" spans="1:13" x14ac:dyDescent="0.25">
      <c r="A9" t="s">
        <v>16</v>
      </c>
      <c r="B9" t="s">
        <v>18</v>
      </c>
      <c r="C9" s="3">
        <f>+E14</f>
        <v>22180.522728110675</v>
      </c>
    </row>
    <row r="10" spans="1:13" x14ac:dyDescent="0.25">
      <c r="A10" t="s">
        <v>16</v>
      </c>
      <c r="B10" t="s">
        <v>19</v>
      </c>
      <c r="C10" s="3">
        <f>+C9</f>
        <v>22180.522728110675</v>
      </c>
    </row>
    <row r="11" spans="1:13" x14ac:dyDescent="0.25">
      <c r="A11" t="s">
        <v>16</v>
      </c>
      <c r="B11" t="s">
        <v>20</v>
      </c>
      <c r="C11" s="3">
        <f>+C10</f>
        <v>22180.522728110675</v>
      </c>
    </row>
    <row r="12" spans="1:13" x14ac:dyDescent="0.25">
      <c r="A12" t="s">
        <v>16</v>
      </c>
      <c r="B12" t="s">
        <v>21</v>
      </c>
      <c r="C12" s="3">
        <f>+C11</f>
        <v>22180.522728110675</v>
      </c>
    </row>
    <row r="13" spans="1:13" x14ac:dyDescent="0.25">
      <c r="A13" t="s">
        <v>16</v>
      </c>
      <c r="B13" t="s">
        <v>22</v>
      </c>
      <c r="C13" s="3">
        <f>+'[1]VENTA MAYORISTA 35%'!$CW$1</f>
        <v>41963.150036479696</v>
      </c>
    </row>
    <row r="14" spans="1:13" x14ac:dyDescent="0.25">
      <c r="A14" t="s">
        <v>16</v>
      </c>
      <c r="B14" t="s">
        <v>23</v>
      </c>
      <c r="D14" s="4">
        <f>+'[1]VENTA MAYORISTA 35%'!$F$1*3</f>
        <v>16635.392046083005</v>
      </c>
      <c r="E14" s="4">
        <f>+'[1]VENTA MAYORISTA 35%'!$F$1*4</f>
        <v>22180.522728110675</v>
      </c>
      <c r="F14" s="4">
        <f>+'[1]VENTA MAYORISTA 35%'!$F$1*5</f>
        <v>27725.653410138344</v>
      </c>
      <c r="G14" s="4">
        <f>+'[1]VENTA MAYORISTA 35%'!$F$1*6</f>
        <v>33270.78409216601</v>
      </c>
      <c r="H14" s="4">
        <f>+'[1]VENTA MAYORISTA 35%'!$F$1*7</f>
        <v>38815.914774193683</v>
      </c>
    </row>
    <row r="15" spans="1:13" x14ac:dyDescent="0.25">
      <c r="A15" t="s">
        <v>16</v>
      </c>
      <c r="B15" t="s">
        <v>24</v>
      </c>
      <c r="E15" s="4">
        <f>+'[1]VENTA MAYORISTA 35%'!$F$1*4</f>
        <v>22180.522728110675</v>
      </c>
      <c r="F15" s="4">
        <f>+'[1]VENTA MAYORISTA 35%'!$F$1*5</f>
        <v>27725.653410138344</v>
      </c>
      <c r="G15" s="4">
        <f>+'[1]VENTA MAYORISTA 35%'!$F$1*6</f>
        <v>33270.78409216601</v>
      </c>
      <c r="H15" s="4">
        <f>+'[1]VENTA MAYORISTA 35%'!$F$1*7</f>
        <v>38815.914774193683</v>
      </c>
      <c r="I15" s="4">
        <v>39960</v>
      </c>
      <c r="J15" s="4">
        <v>44900</v>
      </c>
      <c r="K15" s="4">
        <v>54750</v>
      </c>
    </row>
    <row r="16" spans="1:13" x14ac:dyDescent="0.25">
      <c r="A16" t="s">
        <v>16</v>
      </c>
      <c r="B16" t="s">
        <v>25</v>
      </c>
      <c r="E16" s="4">
        <f>+'[1]VENTA MAYORISTA 35%'!$H$1*4</f>
        <v>15223.625228110677</v>
      </c>
      <c r="F16" s="4">
        <f>+'[1]VENTA MAYORISTA 35%'!$H$1*5</f>
        <v>19029.531535138347</v>
      </c>
      <c r="G16" s="4">
        <f>+'[1]VENTA MAYORISTA 35%'!$H$1*6</f>
        <v>22835.437842166015</v>
      </c>
      <c r="H16" s="4">
        <f>+'[1]VENTA MAYORISTA 35%'!$H$1*7</f>
        <v>26641.344149193686</v>
      </c>
      <c r="I16" s="4">
        <f>+'[1]VENTA MAYORISTA 35%'!$H$1*8</f>
        <v>30447.250456221354</v>
      </c>
      <c r="J16" s="4">
        <f>+'[1]VENTA MAYORISTA 35%'!$H$1*9</f>
        <v>34253.156763249026</v>
      </c>
      <c r="K16" s="4">
        <f>+'[1]VENTA MAYORISTA 35%'!$H$1*10</f>
        <v>38059.063070276694</v>
      </c>
      <c r="L16" s="4">
        <f>+'[1]VENTA MAYORISTA 35%'!$H$1*11</f>
        <v>41864.969377304362</v>
      </c>
      <c r="M16" s="4">
        <f>+'[1]VENTA MAYORISTA 35%'!$H$1*12</f>
        <v>45670.87568433203</v>
      </c>
    </row>
    <row r="17" spans="1:13" x14ac:dyDescent="0.25">
      <c r="A17" t="s">
        <v>16</v>
      </c>
      <c r="B17" t="s">
        <v>26</v>
      </c>
      <c r="D17" s="4">
        <f>+D14</f>
        <v>16635.392046083005</v>
      </c>
      <c r="F17" s="4">
        <v>19960</v>
      </c>
    </row>
    <row r="18" spans="1:13" x14ac:dyDescent="0.25">
      <c r="A18" t="s">
        <v>16</v>
      </c>
      <c r="B18" t="s">
        <v>27</v>
      </c>
      <c r="E18" s="4">
        <f>+'[1]VENTA MAYORISTA 35%'!$H$1*4</f>
        <v>15223.625228110677</v>
      </c>
      <c r="F18" s="4">
        <f>+'[1]VENTA MAYORISTA 35%'!$H$1*5</f>
        <v>19029.531535138347</v>
      </c>
      <c r="G18" s="4">
        <f>+'[1]VENTA MAYORISTA 35%'!$H$1*6</f>
        <v>22835.437842166015</v>
      </c>
      <c r="H18" s="4">
        <f>+'[1]VENTA MAYORISTA 35%'!$H$1*7</f>
        <v>26641.344149193686</v>
      </c>
      <c r="I18" s="4">
        <f>+'[1]VENTA MAYORISTA 35%'!$H$1*8</f>
        <v>30447.250456221354</v>
      </c>
    </row>
    <row r="19" spans="1:13" x14ac:dyDescent="0.25">
      <c r="A19" t="s">
        <v>16</v>
      </c>
      <c r="B19" t="s">
        <v>28</v>
      </c>
      <c r="C19" s="3">
        <f>+F14</f>
        <v>27725.653410138344</v>
      </c>
    </row>
    <row r="20" spans="1:13" x14ac:dyDescent="0.25">
      <c r="A20" t="s">
        <v>16</v>
      </c>
      <c r="B20" t="s">
        <v>29</v>
      </c>
      <c r="C20" s="3">
        <f>+F15</f>
        <v>27725.653410138344</v>
      </c>
    </row>
    <row r="21" spans="1:13" x14ac:dyDescent="0.25">
      <c r="A21" t="s">
        <v>16</v>
      </c>
      <c r="B21" t="s">
        <v>30</v>
      </c>
      <c r="C21" s="3">
        <f>+G14</f>
        <v>33270.78409216601</v>
      </c>
    </row>
    <row r="22" spans="1:13" x14ac:dyDescent="0.25">
      <c r="A22" t="s">
        <v>16</v>
      </c>
      <c r="B22" t="s">
        <v>31</v>
      </c>
      <c r="C22" s="3">
        <f>+G14</f>
        <v>33270.78409216601</v>
      </c>
    </row>
    <row r="23" spans="1:13" x14ac:dyDescent="0.25">
      <c r="A23" t="s">
        <v>16</v>
      </c>
      <c r="B23" t="s">
        <v>32</v>
      </c>
      <c r="C23" s="3">
        <f>+E16</f>
        <v>15223.625228110677</v>
      </c>
    </row>
    <row r="24" spans="1:13" x14ac:dyDescent="0.25">
      <c r="A24" t="s">
        <v>16</v>
      </c>
      <c r="B24" t="s">
        <v>33</v>
      </c>
      <c r="C24" s="3">
        <f>+G16</f>
        <v>22835.437842166015</v>
      </c>
    </row>
    <row r="25" spans="1:13" x14ac:dyDescent="0.25">
      <c r="A25" t="s">
        <v>16</v>
      </c>
      <c r="B25" t="s">
        <v>34</v>
      </c>
      <c r="C25" s="3">
        <f>+E14</f>
        <v>22180.522728110675</v>
      </c>
    </row>
    <row r="26" spans="1:13" x14ac:dyDescent="0.25">
      <c r="A26" t="s">
        <v>16</v>
      </c>
      <c r="B26" t="s">
        <v>35</v>
      </c>
      <c r="F26" s="4">
        <f>+F16</f>
        <v>19029.531535138347</v>
      </c>
      <c r="H26" s="4">
        <v>26350</v>
      </c>
    </row>
    <row r="27" spans="1:13" x14ac:dyDescent="0.25">
      <c r="A27" t="s">
        <v>16</v>
      </c>
      <c r="B27" t="s">
        <v>36</v>
      </c>
      <c r="C27" s="3">
        <v>11200</v>
      </c>
    </row>
    <row r="28" spans="1:13" x14ac:dyDescent="0.25">
      <c r="A28" t="s">
        <v>16</v>
      </c>
      <c r="B28" t="s">
        <v>37</v>
      </c>
      <c r="C28" s="3">
        <v>20300</v>
      </c>
    </row>
    <row r="29" spans="1:13" x14ac:dyDescent="0.25">
      <c r="A29" t="s">
        <v>16</v>
      </c>
      <c r="B29" t="s">
        <v>38</v>
      </c>
      <c r="E29" s="4">
        <f>+E18</f>
        <v>15223.625228110677</v>
      </c>
      <c r="F29" s="4">
        <f t="shared" ref="F29:K29" si="0">+F18</f>
        <v>19029.531535138347</v>
      </c>
      <c r="G29" s="4">
        <f t="shared" si="0"/>
        <v>22835.437842166015</v>
      </c>
      <c r="H29" s="4">
        <f t="shared" si="0"/>
        <v>26641.344149193686</v>
      </c>
      <c r="I29" s="4">
        <f t="shared" si="0"/>
        <v>30447.250456221354</v>
      </c>
      <c r="J29" s="4">
        <f>+'[1]VENTA MAYORISTA 35%'!$H$1*9</f>
        <v>34253.156763249026</v>
      </c>
      <c r="K29" s="4">
        <f>+'[1]VENTA MAYORISTA 35%'!$H$1*10</f>
        <v>38059.063070276694</v>
      </c>
      <c r="L29" s="4">
        <f>+'[1]VENTA MAYORISTA 35%'!$H$1*11</f>
        <v>41864.969377304362</v>
      </c>
      <c r="M29" s="4">
        <f>+'[1]VENTA MAYORISTA 35%'!$H$1*12</f>
        <v>45670.87568433203</v>
      </c>
    </row>
    <row r="30" spans="1:13" ht="27.95" customHeight="1" x14ac:dyDescent="0.35">
      <c r="A30" s="7" t="s">
        <v>39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</row>
    <row r="31" spans="1:13" x14ac:dyDescent="0.25">
      <c r="A31" t="s">
        <v>39</v>
      </c>
      <c r="B31" t="s">
        <v>40</v>
      </c>
      <c r="C31" s="3">
        <v>36800</v>
      </c>
    </row>
    <row r="32" spans="1:13" x14ac:dyDescent="0.25">
      <c r="A32" t="s">
        <v>39</v>
      </c>
      <c r="B32" t="s">
        <v>41</v>
      </c>
      <c r="C32" s="3">
        <v>36800</v>
      </c>
    </row>
    <row r="33" spans="1:13" x14ac:dyDescent="0.25">
      <c r="A33" t="s">
        <v>39</v>
      </c>
      <c r="B33" t="s">
        <v>42</v>
      </c>
      <c r="C33" s="3">
        <v>29800</v>
      </c>
    </row>
    <row r="34" spans="1:13" x14ac:dyDescent="0.25">
      <c r="A34" t="s">
        <v>39</v>
      </c>
      <c r="B34" t="s">
        <v>43</v>
      </c>
      <c r="C34" s="3">
        <v>36800</v>
      </c>
    </row>
    <row r="35" spans="1:13" x14ac:dyDescent="0.25">
      <c r="A35" t="s">
        <v>39</v>
      </c>
      <c r="B35" t="s">
        <v>44</v>
      </c>
      <c r="E35" s="4">
        <v>36800</v>
      </c>
      <c r="F35" s="4">
        <v>41700</v>
      </c>
      <c r="G35" s="4">
        <v>46600</v>
      </c>
      <c r="H35" s="4">
        <v>48100</v>
      </c>
    </row>
    <row r="36" spans="1:13" x14ac:dyDescent="0.25">
      <c r="A36" t="s">
        <v>39</v>
      </c>
      <c r="B36" t="s">
        <v>45</v>
      </c>
      <c r="C36" s="3">
        <v>36800</v>
      </c>
    </row>
    <row r="37" spans="1:13" x14ac:dyDescent="0.25">
      <c r="A37" t="s">
        <v>39</v>
      </c>
      <c r="B37" t="s">
        <v>46</v>
      </c>
      <c r="E37" s="4">
        <v>36800</v>
      </c>
      <c r="F37" s="4">
        <v>41700</v>
      </c>
      <c r="G37" s="4">
        <v>46600</v>
      </c>
      <c r="H37" s="4">
        <v>48100</v>
      </c>
    </row>
    <row r="38" spans="1:13" x14ac:dyDescent="0.25">
      <c r="A38" t="s">
        <v>39</v>
      </c>
      <c r="B38" t="s">
        <v>47</v>
      </c>
      <c r="E38" s="4">
        <v>36800</v>
      </c>
      <c r="F38" s="4">
        <v>41700</v>
      </c>
      <c r="G38" s="4">
        <v>46600</v>
      </c>
    </row>
    <row r="39" spans="1:13" x14ac:dyDescent="0.25">
      <c r="A39" t="s">
        <v>39</v>
      </c>
      <c r="B39" t="s">
        <v>48</v>
      </c>
      <c r="E39" s="4">
        <v>36800</v>
      </c>
      <c r="F39" s="4">
        <v>41700</v>
      </c>
      <c r="G39" s="4">
        <v>46600</v>
      </c>
    </row>
    <row r="40" spans="1:13" x14ac:dyDescent="0.25">
      <c r="A40" t="s">
        <v>39</v>
      </c>
      <c r="B40" t="s">
        <v>49</v>
      </c>
      <c r="E40" s="4">
        <v>36800</v>
      </c>
      <c r="F40" s="4">
        <v>41700</v>
      </c>
      <c r="G40" s="4">
        <v>46600</v>
      </c>
    </row>
    <row r="41" spans="1:13" x14ac:dyDescent="0.25">
      <c r="A41" t="s">
        <v>39</v>
      </c>
      <c r="B41" t="s">
        <v>50</v>
      </c>
      <c r="C41" s="3">
        <v>38200</v>
      </c>
    </row>
    <row r="42" spans="1:13" x14ac:dyDescent="0.25">
      <c r="A42" t="s">
        <v>39</v>
      </c>
      <c r="B42" t="s">
        <v>51</v>
      </c>
      <c r="E42" s="4">
        <v>29800</v>
      </c>
      <c r="F42" s="4">
        <v>32980</v>
      </c>
      <c r="G42" s="4">
        <v>36200</v>
      </c>
      <c r="H42" s="4">
        <v>39400</v>
      </c>
      <c r="I42" s="4">
        <v>46600</v>
      </c>
      <c r="J42" s="4">
        <v>45800</v>
      </c>
      <c r="K42" s="4">
        <v>48950</v>
      </c>
      <c r="L42" s="4">
        <v>52100</v>
      </c>
      <c r="M42" s="4">
        <v>55300</v>
      </c>
    </row>
    <row r="43" spans="1:13" x14ac:dyDescent="0.25">
      <c r="A43" t="s">
        <v>39</v>
      </c>
      <c r="B43" t="s">
        <v>52</v>
      </c>
      <c r="D43" s="4">
        <v>28900</v>
      </c>
      <c r="F43" s="4">
        <v>36500</v>
      </c>
    </row>
    <row r="44" spans="1:13" x14ac:dyDescent="0.25">
      <c r="A44" t="s">
        <v>39</v>
      </c>
      <c r="B44" t="s">
        <v>53</v>
      </c>
      <c r="C44" s="3">
        <v>32980</v>
      </c>
    </row>
    <row r="45" spans="1:13" x14ac:dyDescent="0.25">
      <c r="A45" t="s">
        <v>39</v>
      </c>
      <c r="B45" t="s">
        <v>54</v>
      </c>
      <c r="E45" s="4">
        <v>29800</v>
      </c>
      <c r="F45" s="4">
        <v>32980</v>
      </c>
      <c r="G45" s="4">
        <v>36200</v>
      </c>
      <c r="H45" s="4">
        <v>39400</v>
      </c>
      <c r="I45" s="4">
        <v>46600</v>
      </c>
    </row>
    <row r="46" spans="1:13" x14ac:dyDescent="0.25">
      <c r="A46" t="s">
        <v>39</v>
      </c>
      <c r="B46" t="s">
        <v>55</v>
      </c>
      <c r="C46" s="3">
        <v>36800</v>
      </c>
    </row>
    <row r="47" spans="1:13" x14ac:dyDescent="0.25">
      <c r="A47" t="s">
        <v>39</v>
      </c>
      <c r="B47" t="s">
        <v>56</v>
      </c>
      <c r="C47" s="3">
        <v>34990</v>
      </c>
    </row>
    <row r="48" spans="1:13" x14ac:dyDescent="0.25">
      <c r="A48" t="s">
        <v>39</v>
      </c>
      <c r="B48" t="s">
        <v>57</v>
      </c>
      <c r="C48" s="3">
        <v>36800</v>
      </c>
    </row>
    <row r="49" spans="1:13" x14ac:dyDescent="0.25">
      <c r="A49" t="s">
        <v>39</v>
      </c>
      <c r="B49" t="s">
        <v>58</v>
      </c>
      <c r="C49" s="3">
        <v>57800</v>
      </c>
    </row>
    <row r="50" spans="1:13" x14ac:dyDescent="0.25">
      <c r="A50" t="s">
        <v>39</v>
      </c>
      <c r="B50" t="s">
        <v>59</v>
      </c>
      <c r="E50" s="4">
        <v>29800</v>
      </c>
      <c r="F50" s="4">
        <v>32980</v>
      </c>
      <c r="G50" s="4">
        <v>36200</v>
      </c>
      <c r="H50" s="4">
        <v>39400</v>
      </c>
      <c r="I50" s="4">
        <v>46600</v>
      </c>
      <c r="J50" s="4">
        <v>45800</v>
      </c>
      <c r="K50" s="4">
        <v>48950</v>
      </c>
      <c r="L50" s="4">
        <v>52100</v>
      </c>
      <c r="M50" s="4">
        <v>55300</v>
      </c>
    </row>
    <row r="51" spans="1:13" x14ac:dyDescent="0.25">
      <c r="A51" t="s">
        <v>39</v>
      </c>
      <c r="B51" t="s">
        <v>60</v>
      </c>
      <c r="C51" s="3">
        <v>36200</v>
      </c>
    </row>
    <row r="52" spans="1:13" ht="27.95" customHeight="1" x14ac:dyDescent="0.35">
      <c r="A52" s="7" t="s">
        <v>61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</row>
    <row r="53" spans="1:13" x14ac:dyDescent="0.25">
      <c r="A53" t="s">
        <v>61</v>
      </c>
      <c r="B53" t="s">
        <v>62</v>
      </c>
      <c r="C53" s="3">
        <v>16300</v>
      </c>
    </row>
    <row r="54" spans="1:13" x14ac:dyDescent="0.25">
      <c r="A54" t="s">
        <v>61</v>
      </c>
      <c r="B54" t="s">
        <v>63</v>
      </c>
      <c r="C54" s="3">
        <v>18800</v>
      </c>
    </row>
    <row r="55" spans="1:13" x14ac:dyDescent="0.25">
      <c r="A55" t="s">
        <v>61</v>
      </c>
      <c r="B55" t="s">
        <v>64</v>
      </c>
      <c r="C55" s="3">
        <v>16300</v>
      </c>
    </row>
    <row r="56" spans="1:13" x14ac:dyDescent="0.25">
      <c r="A56" t="s">
        <v>61</v>
      </c>
      <c r="B56" t="s">
        <v>65</v>
      </c>
      <c r="C56" s="3">
        <v>16300</v>
      </c>
    </row>
    <row r="57" spans="1:13" x14ac:dyDescent="0.25">
      <c r="A57" t="s">
        <v>61</v>
      </c>
      <c r="B57" t="s">
        <v>66</v>
      </c>
      <c r="C57" s="3">
        <v>18000</v>
      </c>
    </row>
    <row r="58" spans="1:13" x14ac:dyDescent="0.25">
      <c r="A58" t="s">
        <v>61</v>
      </c>
      <c r="B58" t="s">
        <v>67</v>
      </c>
      <c r="C58" s="3">
        <v>18800</v>
      </c>
    </row>
    <row r="59" spans="1:13" x14ac:dyDescent="0.25">
      <c r="A59" t="s">
        <v>61</v>
      </c>
      <c r="B59" t="s">
        <v>68</v>
      </c>
      <c r="E59" s="4">
        <v>18800</v>
      </c>
      <c r="F59" s="4">
        <v>21250</v>
      </c>
      <c r="G59" s="4">
        <v>23670</v>
      </c>
      <c r="H59" s="4">
        <v>26100</v>
      </c>
    </row>
    <row r="60" spans="1:13" x14ac:dyDescent="0.25">
      <c r="A60" t="s">
        <v>61</v>
      </c>
      <c r="B60" t="s">
        <v>69</v>
      </c>
      <c r="C60" s="3">
        <v>18800</v>
      </c>
    </row>
    <row r="61" spans="1:13" x14ac:dyDescent="0.25">
      <c r="A61" t="s">
        <v>61</v>
      </c>
      <c r="B61" t="s">
        <v>70</v>
      </c>
      <c r="F61" s="4">
        <v>18150</v>
      </c>
      <c r="G61" s="4">
        <v>19920</v>
      </c>
      <c r="H61" s="4">
        <v>21800</v>
      </c>
      <c r="I61" s="4">
        <v>23550</v>
      </c>
    </row>
    <row r="62" spans="1:13" x14ac:dyDescent="0.25">
      <c r="A62" t="s">
        <v>61</v>
      </c>
      <c r="B62" t="s">
        <v>71</v>
      </c>
      <c r="E62" s="4">
        <v>16300</v>
      </c>
      <c r="F62" s="4">
        <v>18150</v>
      </c>
      <c r="G62" s="4">
        <v>19920</v>
      </c>
      <c r="H62" s="4">
        <v>21800</v>
      </c>
    </row>
    <row r="63" spans="1:13" x14ac:dyDescent="0.25">
      <c r="A63" t="s">
        <v>61</v>
      </c>
      <c r="B63" t="s">
        <v>72</v>
      </c>
      <c r="C63" s="3">
        <v>18800</v>
      </c>
    </row>
    <row r="64" spans="1:13" x14ac:dyDescent="0.25">
      <c r="A64" t="s">
        <v>61</v>
      </c>
      <c r="B64" t="s">
        <v>73</v>
      </c>
      <c r="C64" s="3">
        <v>19980</v>
      </c>
    </row>
    <row r="65" spans="1:11" x14ac:dyDescent="0.25">
      <c r="A65" t="s">
        <v>61</v>
      </c>
      <c r="B65" t="s">
        <v>74</v>
      </c>
      <c r="D65" s="4">
        <v>14500</v>
      </c>
      <c r="E65" s="4">
        <v>16200</v>
      </c>
      <c r="F65" s="4">
        <v>19360</v>
      </c>
    </row>
    <row r="66" spans="1:11" x14ac:dyDescent="0.25">
      <c r="A66" t="s">
        <v>61</v>
      </c>
      <c r="B66" t="s">
        <v>75</v>
      </c>
      <c r="E66" s="4">
        <v>16300</v>
      </c>
      <c r="F66" s="4">
        <v>18150</v>
      </c>
      <c r="G66" s="4">
        <v>19920</v>
      </c>
      <c r="H66" s="4">
        <v>21800</v>
      </c>
      <c r="I66" s="4">
        <v>23550</v>
      </c>
    </row>
    <row r="67" spans="1:11" x14ac:dyDescent="0.25">
      <c r="A67" t="s">
        <v>61</v>
      </c>
      <c r="B67" t="s">
        <v>76</v>
      </c>
      <c r="C67" s="3">
        <v>19950</v>
      </c>
    </row>
    <row r="68" spans="1:11" x14ac:dyDescent="0.25">
      <c r="A68" t="s">
        <v>61</v>
      </c>
      <c r="B68" t="s">
        <v>77</v>
      </c>
      <c r="E68" s="4">
        <v>16300</v>
      </c>
      <c r="F68" s="4">
        <v>18150</v>
      </c>
      <c r="G68" s="4">
        <v>19920</v>
      </c>
      <c r="H68" s="4">
        <v>21800</v>
      </c>
      <c r="I68" s="4">
        <v>23550</v>
      </c>
      <c r="J68" s="4">
        <v>25350</v>
      </c>
      <c r="K68" s="4">
        <v>27200</v>
      </c>
    </row>
    <row r="69" spans="1:11" x14ac:dyDescent="0.25">
      <c r="A69" t="s">
        <v>61</v>
      </c>
      <c r="B69" t="s">
        <v>78</v>
      </c>
      <c r="C69" s="3">
        <v>18200</v>
      </c>
    </row>
    <row r="70" spans="1:11" x14ac:dyDescent="0.25">
      <c r="A70" t="s">
        <v>61</v>
      </c>
      <c r="B70" t="s">
        <v>79</v>
      </c>
      <c r="C70" s="3">
        <v>18000</v>
      </c>
    </row>
    <row r="71" spans="1:11" x14ac:dyDescent="0.25">
      <c r="A71" t="s">
        <v>61</v>
      </c>
      <c r="B71" t="s">
        <v>80</v>
      </c>
      <c r="E71" s="4">
        <v>7800</v>
      </c>
      <c r="F71" s="4">
        <v>9600</v>
      </c>
      <c r="G71" s="4">
        <v>11400</v>
      </c>
      <c r="H71" s="4">
        <v>13200</v>
      </c>
    </row>
    <row r="72" spans="1:11" x14ac:dyDescent="0.25">
      <c r="A72" t="s">
        <v>61</v>
      </c>
      <c r="B72" t="s">
        <v>81</v>
      </c>
      <c r="C72" s="3">
        <v>7800</v>
      </c>
    </row>
    <row r="73" spans="1:11" x14ac:dyDescent="0.25">
      <c r="A73" t="s">
        <v>61</v>
      </c>
      <c r="B73" t="s">
        <v>82</v>
      </c>
      <c r="C73" s="3">
        <v>10300</v>
      </c>
    </row>
    <row r="74" spans="1:11" x14ac:dyDescent="0.25">
      <c r="A74" t="s">
        <v>61</v>
      </c>
      <c r="B74" t="s">
        <v>83</v>
      </c>
      <c r="C74" s="3">
        <v>10300</v>
      </c>
    </row>
    <row r="75" spans="1:11" x14ac:dyDescent="0.25">
      <c r="A75" t="s">
        <v>61</v>
      </c>
      <c r="B75" t="s">
        <v>84</v>
      </c>
      <c r="C75" s="3">
        <v>10300</v>
      </c>
    </row>
    <row r="76" spans="1:11" x14ac:dyDescent="0.25">
      <c r="A76" t="s">
        <v>61</v>
      </c>
      <c r="B76" t="s">
        <v>85</v>
      </c>
      <c r="E76" s="4">
        <v>10300</v>
      </c>
      <c r="F76" s="4">
        <v>12700</v>
      </c>
      <c r="H76" s="4">
        <v>17600</v>
      </c>
    </row>
    <row r="77" spans="1:11" x14ac:dyDescent="0.25">
      <c r="A77" t="s">
        <v>61</v>
      </c>
      <c r="B77" t="s">
        <v>86</v>
      </c>
      <c r="E77" s="4">
        <v>7800</v>
      </c>
      <c r="F77" s="4">
        <v>9600</v>
      </c>
      <c r="G77" s="4">
        <v>11400</v>
      </c>
      <c r="H77" s="4">
        <v>13200</v>
      </c>
    </row>
    <row r="78" spans="1:11" x14ac:dyDescent="0.25">
      <c r="A78" t="s">
        <v>61</v>
      </c>
      <c r="B78" t="s">
        <v>87</v>
      </c>
      <c r="C78" s="3">
        <v>10825</v>
      </c>
    </row>
    <row r="79" spans="1:11" x14ac:dyDescent="0.25">
      <c r="A79" t="s">
        <v>61</v>
      </c>
      <c r="B79" t="s">
        <v>88</v>
      </c>
      <c r="C79" s="3">
        <v>11450</v>
      </c>
    </row>
    <row r="80" spans="1:11" x14ac:dyDescent="0.25">
      <c r="A80" t="s">
        <v>61</v>
      </c>
      <c r="B80" t="s">
        <v>89</v>
      </c>
      <c r="E80" s="4">
        <v>7800</v>
      </c>
      <c r="F80" s="4">
        <v>9600</v>
      </c>
      <c r="G80" s="4">
        <v>11400</v>
      </c>
      <c r="H80" s="4">
        <v>13200</v>
      </c>
    </row>
    <row r="81" spans="1:13" x14ac:dyDescent="0.25">
      <c r="A81" t="s">
        <v>61</v>
      </c>
      <c r="B81" t="s">
        <v>90</v>
      </c>
      <c r="C81" s="3">
        <v>7800</v>
      </c>
    </row>
    <row r="82" spans="1:13" x14ac:dyDescent="0.25">
      <c r="A82" t="s">
        <v>61</v>
      </c>
      <c r="B82" t="s">
        <v>91</v>
      </c>
      <c r="C82" s="3">
        <v>7800</v>
      </c>
    </row>
    <row r="83" spans="1:13" x14ac:dyDescent="0.25">
      <c r="A83" t="s">
        <v>61</v>
      </c>
      <c r="B83" t="s">
        <v>92</v>
      </c>
      <c r="E83" s="4">
        <v>7800</v>
      </c>
      <c r="F83" s="4">
        <v>9600</v>
      </c>
      <c r="G83" s="4">
        <v>11400</v>
      </c>
      <c r="H83" s="4">
        <v>13200</v>
      </c>
      <c r="I83" s="4">
        <v>15100</v>
      </c>
    </row>
    <row r="84" spans="1:13" x14ac:dyDescent="0.25">
      <c r="A84" t="s">
        <v>61</v>
      </c>
      <c r="B84" t="s">
        <v>93</v>
      </c>
      <c r="E84" s="4">
        <v>7800</v>
      </c>
      <c r="F84" s="4">
        <v>9600</v>
      </c>
    </row>
    <row r="85" spans="1:13" x14ac:dyDescent="0.25">
      <c r="A85" t="s">
        <v>61</v>
      </c>
      <c r="B85" t="s">
        <v>94</v>
      </c>
      <c r="C85" s="3">
        <v>10300</v>
      </c>
    </row>
    <row r="86" spans="1:13" x14ac:dyDescent="0.25">
      <c r="A86" t="s">
        <v>61</v>
      </c>
      <c r="B86" t="s">
        <v>95</v>
      </c>
      <c r="E86" s="4">
        <v>7800</v>
      </c>
      <c r="F86" s="4">
        <v>9600</v>
      </c>
      <c r="G86" s="4">
        <v>11400</v>
      </c>
      <c r="H86" s="4">
        <v>13200</v>
      </c>
      <c r="I86" s="4">
        <v>15100</v>
      </c>
    </row>
    <row r="87" spans="1:13" x14ac:dyDescent="0.25">
      <c r="A87" t="s">
        <v>61</v>
      </c>
      <c r="B87" t="s">
        <v>96</v>
      </c>
      <c r="C87" s="3">
        <v>10300</v>
      </c>
    </row>
    <row r="88" spans="1:13" ht="27.95" customHeight="1" x14ac:dyDescent="0.35">
      <c r="A88" s="7" t="s">
        <v>97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</row>
    <row r="89" spans="1:13" x14ac:dyDescent="0.25">
      <c r="A89" t="s">
        <v>97</v>
      </c>
      <c r="B89" t="s">
        <v>98</v>
      </c>
      <c r="C89" s="3">
        <v>12000</v>
      </c>
    </row>
    <row r="90" spans="1:13" x14ac:dyDescent="0.25">
      <c r="A90" t="s">
        <v>97</v>
      </c>
      <c r="B90" t="s">
        <v>99</v>
      </c>
      <c r="C90" s="3">
        <v>12000</v>
      </c>
    </row>
    <row r="91" spans="1:13" x14ac:dyDescent="0.25">
      <c r="A91" t="s">
        <v>97</v>
      </c>
      <c r="B91" t="s">
        <v>100</v>
      </c>
      <c r="C91" s="3">
        <v>12000</v>
      </c>
    </row>
    <row r="92" spans="1:13" x14ac:dyDescent="0.25">
      <c r="A92" t="s">
        <v>97</v>
      </c>
      <c r="B92" t="s">
        <v>101</v>
      </c>
      <c r="C92" s="3">
        <v>12000</v>
      </c>
    </row>
    <row r="93" spans="1:13" x14ac:dyDescent="0.25">
      <c r="A93" t="s">
        <v>97</v>
      </c>
      <c r="B93" t="s">
        <v>102</v>
      </c>
      <c r="C93" s="3">
        <v>19500</v>
      </c>
    </row>
    <row r="94" spans="1:13" x14ac:dyDescent="0.25">
      <c r="A94" t="s">
        <v>97</v>
      </c>
      <c r="B94" t="s">
        <v>103</v>
      </c>
      <c r="C94" s="3">
        <v>19500</v>
      </c>
    </row>
    <row r="95" spans="1:13" x14ac:dyDescent="0.25">
      <c r="A95" t="s">
        <v>97</v>
      </c>
      <c r="B95" t="s">
        <v>104</v>
      </c>
      <c r="C95" s="3">
        <v>19500</v>
      </c>
    </row>
    <row r="96" spans="1:13" x14ac:dyDescent="0.25">
      <c r="A96" t="s">
        <v>97</v>
      </c>
      <c r="B96" t="s">
        <v>105</v>
      </c>
      <c r="C96" s="3">
        <v>19500</v>
      </c>
    </row>
    <row r="97" spans="1:13" x14ac:dyDescent="0.25">
      <c r="A97" t="s">
        <v>97</v>
      </c>
      <c r="B97" t="s">
        <v>106</v>
      </c>
      <c r="C97" s="3">
        <v>19500</v>
      </c>
    </row>
    <row r="98" spans="1:13" x14ac:dyDescent="0.25">
      <c r="A98" t="s">
        <v>97</v>
      </c>
      <c r="B98" t="s">
        <v>107</v>
      </c>
      <c r="C98" s="3">
        <v>19500</v>
      </c>
    </row>
    <row r="99" spans="1:13" x14ac:dyDescent="0.25">
      <c r="A99" t="s">
        <v>97</v>
      </c>
      <c r="B99" t="s">
        <v>108</v>
      </c>
      <c r="C99" s="3">
        <v>25850</v>
      </c>
    </row>
    <row r="100" spans="1:13" x14ac:dyDescent="0.25">
      <c r="A100" t="s">
        <v>97</v>
      </c>
      <c r="B100" t="s">
        <v>109</v>
      </c>
      <c r="C100" s="3">
        <v>25850</v>
      </c>
    </row>
    <row r="101" spans="1:13" x14ac:dyDescent="0.25">
      <c r="A101" t="s">
        <v>97</v>
      </c>
      <c r="B101" t="s">
        <v>110</v>
      </c>
      <c r="C101" s="3">
        <v>25850</v>
      </c>
    </row>
    <row r="102" spans="1:13" x14ac:dyDescent="0.25">
      <c r="A102" t="s">
        <v>97</v>
      </c>
      <c r="B102" t="s">
        <v>111</v>
      </c>
      <c r="C102" s="3">
        <v>25850</v>
      </c>
    </row>
    <row r="103" spans="1:13" x14ac:dyDescent="0.25">
      <c r="A103" t="s">
        <v>97</v>
      </c>
      <c r="B103" t="s">
        <v>112</v>
      </c>
      <c r="C103" s="3">
        <v>25850</v>
      </c>
    </row>
    <row r="104" spans="1:13" x14ac:dyDescent="0.25">
      <c r="A104" t="s">
        <v>97</v>
      </c>
      <c r="B104" t="s">
        <v>113</v>
      </c>
      <c r="C104" s="3">
        <v>25850</v>
      </c>
    </row>
    <row r="105" spans="1:13" x14ac:dyDescent="0.25">
      <c r="A105" t="s">
        <v>97</v>
      </c>
      <c r="B105" t="s">
        <v>114</v>
      </c>
      <c r="C105" s="3">
        <v>25850</v>
      </c>
    </row>
    <row r="106" spans="1:13" x14ac:dyDescent="0.25">
      <c r="A106" t="s">
        <v>97</v>
      </c>
      <c r="B106" t="s">
        <v>115</v>
      </c>
      <c r="C106" s="3">
        <v>25850</v>
      </c>
    </row>
    <row r="107" spans="1:13" x14ac:dyDescent="0.25">
      <c r="A107" t="s">
        <v>97</v>
      </c>
      <c r="B107" t="s">
        <v>116</v>
      </c>
      <c r="C107" s="3">
        <v>25850</v>
      </c>
    </row>
    <row r="108" spans="1:13" ht="27.95" customHeight="1" x14ac:dyDescent="0.35">
      <c r="A108" s="7" t="s">
        <v>117</v>
      </c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spans="1:13" x14ac:dyDescent="0.25">
      <c r="A109" t="s">
        <v>117</v>
      </c>
      <c r="B109" t="s">
        <v>118</v>
      </c>
      <c r="C109" s="3">
        <v>11500</v>
      </c>
    </row>
    <row r="110" spans="1:13" x14ac:dyDescent="0.25">
      <c r="A110" t="s">
        <v>117</v>
      </c>
      <c r="B110" t="s">
        <v>119</v>
      </c>
      <c r="C110" s="3">
        <v>11500</v>
      </c>
    </row>
    <row r="111" spans="1:13" x14ac:dyDescent="0.25">
      <c r="A111" t="s">
        <v>117</v>
      </c>
      <c r="B111" t="s">
        <v>120</v>
      </c>
      <c r="C111" s="3">
        <v>11500</v>
      </c>
    </row>
    <row r="112" spans="1:13" x14ac:dyDescent="0.25">
      <c r="A112" t="s">
        <v>117</v>
      </c>
      <c r="B112" t="s">
        <v>121</v>
      </c>
      <c r="C112" s="3">
        <v>11500</v>
      </c>
    </row>
    <row r="113" spans="1:13" x14ac:dyDescent="0.25">
      <c r="A113" t="s">
        <v>117</v>
      </c>
      <c r="B113" t="s">
        <v>122</v>
      </c>
      <c r="C113" s="3">
        <v>11500</v>
      </c>
    </row>
    <row r="114" spans="1:13" x14ac:dyDescent="0.25">
      <c r="A114" t="s">
        <v>117</v>
      </c>
      <c r="B114" t="s">
        <v>123</v>
      </c>
      <c r="C114" s="3">
        <v>16500</v>
      </c>
    </row>
    <row r="115" spans="1:13" x14ac:dyDescent="0.25">
      <c r="A115" t="s">
        <v>117</v>
      </c>
      <c r="B115" t="s">
        <v>124</v>
      </c>
      <c r="C115" s="3">
        <v>21000</v>
      </c>
    </row>
    <row r="116" spans="1:13" x14ac:dyDescent="0.25">
      <c r="A116" t="s">
        <v>117</v>
      </c>
      <c r="B116" t="s">
        <v>125</v>
      </c>
      <c r="C116" s="3">
        <v>21000</v>
      </c>
    </row>
    <row r="117" spans="1:13" x14ac:dyDescent="0.25">
      <c r="A117" t="s">
        <v>117</v>
      </c>
      <c r="B117" t="s">
        <v>126</v>
      </c>
      <c r="C117" s="3">
        <v>37500</v>
      </c>
    </row>
    <row r="118" spans="1:13" x14ac:dyDescent="0.25">
      <c r="A118" t="s">
        <v>117</v>
      </c>
      <c r="B118" t="s">
        <v>127</v>
      </c>
      <c r="C118" s="3">
        <v>24800</v>
      </c>
    </row>
    <row r="119" spans="1:13" x14ac:dyDescent="0.25">
      <c r="A119" t="s">
        <v>117</v>
      </c>
      <c r="B119" t="s">
        <v>128</v>
      </c>
      <c r="C119" s="3">
        <v>23500</v>
      </c>
    </row>
    <row r="120" spans="1:13" x14ac:dyDescent="0.25">
      <c r="A120" t="s">
        <v>117</v>
      </c>
      <c r="B120" t="s">
        <v>129</v>
      </c>
      <c r="C120" s="3">
        <v>28600</v>
      </c>
    </row>
    <row r="121" spans="1:13" x14ac:dyDescent="0.25">
      <c r="A121" t="s">
        <v>117</v>
      </c>
      <c r="B121" t="s">
        <v>130</v>
      </c>
      <c r="C121" s="3">
        <v>28600</v>
      </c>
    </row>
    <row r="122" spans="1:13" x14ac:dyDescent="0.25">
      <c r="A122" t="s">
        <v>117</v>
      </c>
      <c r="B122" t="s">
        <v>131</v>
      </c>
      <c r="C122" s="3">
        <v>29800</v>
      </c>
    </row>
    <row r="123" spans="1:13" x14ac:dyDescent="0.25">
      <c r="A123" t="s">
        <v>117</v>
      </c>
      <c r="B123" t="s">
        <v>132</v>
      </c>
      <c r="C123" s="3">
        <v>26400</v>
      </c>
    </row>
    <row r="124" spans="1:13" x14ac:dyDescent="0.25">
      <c r="A124" t="s">
        <v>117</v>
      </c>
      <c r="B124" t="s">
        <v>133</v>
      </c>
      <c r="C124" s="3">
        <v>19500</v>
      </c>
    </row>
    <row r="125" spans="1:13" x14ac:dyDescent="0.25">
      <c r="A125" t="s">
        <v>117</v>
      </c>
      <c r="B125" t="s">
        <v>134</v>
      </c>
      <c r="C125" s="3">
        <v>25000</v>
      </c>
    </row>
    <row r="126" spans="1:13" ht="27.95" customHeight="1" x14ac:dyDescent="0.35">
      <c r="A126" s="7" t="s">
        <v>135</v>
      </c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</row>
    <row r="127" spans="1:13" x14ac:dyDescent="0.25">
      <c r="A127" t="s">
        <v>135</v>
      </c>
      <c r="B127" t="s">
        <v>136</v>
      </c>
      <c r="C127" s="3">
        <v>24850</v>
      </c>
    </row>
    <row r="128" spans="1:13" x14ac:dyDescent="0.25">
      <c r="A128" t="s">
        <v>135</v>
      </c>
      <c r="B128" t="s">
        <v>137</v>
      </c>
      <c r="C128" s="3">
        <v>23970</v>
      </c>
    </row>
    <row r="129" spans="1:3" x14ac:dyDescent="0.25">
      <c r="A129" t="s">
        <v>135</v>
      </c>
      <c r="B129" t="s">
        <v>138</v>
      </c>
      <c r="C129" s="3">
        <v>24850</v>
      </c>
    </row>
    <row r="130" spans="1:3" x14ac:dyDescent="0.25">
      <c r="A130" t="s">
        <v>135</v>
      </c>
      <c r="B130" t="s">
        <v>139</v>
      </c>
      <c r="C130" s="3">
        <v>23970</v>
      </c>
    </row>
    <row r="131" spans="1:3" x14ac:dyDescent="0.25">
      <c r="A131" t="s">
        <v>135</v>
      </c>
      <c r="B131" t="s">
        <v>140</v>
      </c>
      <c r="C131" s="3">
        <v>24850</v>
      </c>
    </row>
    <row r="132" spans="1:3" x14ac:dyDescent="0.25">
      <c r="A132" t="s">
        <v>135</v>
      </c>
      <c r="B132" t="s">
        <v>141</v>
      </c>
      <c r="C132" s="3">
        <v>38500</v>
      </c>
    </row>
    <row r="133" spans="1:3" x14ac:dyDescent="0.25">
      <c r="A133" t="s">
        <v>135</v>
      </c>
      <c r="B133" t="s">
        <v>142</v>
      </c>
      <c r="C133" s="3">
        <v>24500</v>
      </c>
    </row>
    <row r="134" spans="1:3" x14ac:dyDescent="0.25">
      <c r="A134" t="s">
        <v>135</v>
      </c>
      <c r="B134" t="s">
        <v>143</v>
      </c>
      <c r="C134" s="3">
        <v>19850</v>
      </c>
    </row>
    <row r="135" spans="1:3" x14ac:dyDescent="0.25">
      <c r="A135" t="s">
        <v>135</v>
      </c>
      <c r="B135" t="s">
        <v>144</v>
      </c>
      <c r="C135" s="3">
        <v>23970</v>
      </c>
    </row>
    <row r="136" spans="1:3" x14ac:dyDescent="0.25">
      <c r="A136" t="s">
        <v>135</v>
      </c>
      <c r="B136" t="s">
        <v>145</v>
      </c>
      <c r="C136" s="3">
        <v>33300</v>
      </c>
    </row>
    <row r="137" spans="1:3" x14ac:dyDescent="0.25">
      <c r="A137" t="s">
        <v>135</v>
      </c>
      <c r="B137" t="s">
        <v>146</v>
      </c>
      <c r="C137" s="3">
        <v>28500</v>
      </c>
    </row>
    <row r="138" spans="1:3" x14ac:dyDescent="0.25">
      <c r="A138" t="s">
        <v>135</v>
      </c>
      <c r="B138" t="s">
        <v>147</v>
      </c>
      <c r="C138" s="3">
        <v>51800</v>
      </c>
    </row>
    <row r="139" spans="1:3" x14ac:dyDescent="0.25">
      <c r="A139" t="s">
        <v>135</v>
      </c>
      <c r="B139" t="s">
        <v>148</v>
      </c>
      <c r="C139" s="3">
        <v>53200</v>
      </c>
    </row>
    <row r="140" spans="1:3" x14ac:dyDescent="0.25">
      <c r="A140" t="s">
        <v>135</v>
      </c>
      <c r="B140" t="s">
        <v>149</v>
      </c>
      <c r="C140" s="3">
        <v>22500</v>
      </c>
    </row>
    <row r="141" spans="1:3" x14ac:dyDescent="0.25">
      <c r="A141" t="s">
        <v>135</v>
      </c>
      <c r="B141" t="s">
        <v>150</v>
      </c>
      <c r="C141" s="3">
        <v>27400</v>
      </c>
    </row>
    <row r="142" spans="1:3" x14ac:dyDescent="0.25">
      <c r="A142" t="s">
        <v>135</v>
      </c>
      <c r="B142" t="s">
        <v>151</v>
      </c>
      <c r="C142" s="3">
        <v>45000</v>
      </c>
    </row>
    <row r="143" spans="1:3" x14ac:dyDescent="0.25">
      <c r="A143" t="s">
        <v>135</v>
      </c>
      <c r="B143" t="s">
        <v>152</v>
      </c>
      <c r="C143" s="3">
        <v>23200</v>
      </c>
    </row>
    <row r="144" spans="1:3" x14ac:dyDescent="0.25">
      <c r="A144" t="s">
        <v>135</v>
      </c>
      <c r="B144" t="s">
        <v>153</v>
      </c>
      <c r="C144" s="3">
        <v>19500</v>
      </c>
    </row>
    <row r="145" spans="1:13" ht="27.95" customHeight="1" x14ac:dyDescent="0.35">
      <c r="A145" s="7" t="s">
        <v>154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</row>
    <row r="146" spans="1:13" x14ac:dyDescent="0.25">
      <c r="A146" t="s">
        <v>154</v>
      </c>
      <c r="B146" t="s">
        <v>155</v>
      </c>
      <c r="C146" s="3">
        <v>23500</v>
      </c>
    </row>
    <row r="147" spans="1:13" x14ac:dyDescent="0.25">
      <c r="A147" t="s">
        <v>154</v>
      </c>
      <c r="B147" t="s">
        <v>156</v>
      </c>
      <c r="C147" s="3">
        <v>15000</v>
      </c>
    </row>
    <row r="148" spans="1:13" x14ac:dyDescent="0.25">
      <c r="A148" t="s">
        <v>154</v>
      </c>
      <c r="B148" t="s">
        <v>157</v>
      </c>
      <c r="C148" s="3">
        <v>23500</v>
      </c>
    </row>
    <row r="149" spans="1:13" x14ac:dyDescent="0.25">
      <c r="A149" t="s">
        <v>154</v>
      </c>
      <c r="B149" t="s">
        <v>158</v>
      </c>
      <c r="C149" s="3">
        <v>18000</v>
      </c>
    </row>
    <row r="150" spans="1:13" x14ac:dyDescent="0.25">
      <c r="A150" t="s">
        <v>154</v>
      </c>
      <c r="B150" t="s">
        <v>159</v>
      </c>
      <c r="C150" s="3">
        <v>18000</v>
      </c>
    </row>
    <row r="151" spans="1:13" x14ac:dyDescent="0.25">
      <c r="A151" t="s">
        <v>154</v>
      </c>
      <c r="B151" t="s">
        <v>160</v>
      </c>
      <c r="C151" s="3">
        <v>15000</v>
      </c>
    </row>
    <row r="152" spans="1:13" x14ac:dyDescent="0.25">
      <c r="A152" t="s">
        <v>154</v>
      </c>
      <c r="B152" t="s">
        <v>161</v>
      </c>
      <c r="C152" s="3">
        <v>22000</v>
      </c>
    </row>
    <row r="153" spans="1:13" ht="27.95" customHeight="1" x14ac:dyDescent="0.35">
      <c r="A153" s="7" t="s">
        <v>162</v>
      </c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</row>
    <row r="154" spans="1:13" x14ac:dyDescent="0.25">
      <c r="A154" t="s">
        <v>162</v>
      </c>
      <c r="B154" t="s">
        <v>163</v>
      </c>
      <c r="C154" s="3">
        <v>23500</v>
      </c>
    </row>
    <row r="155" spans="1:13" x14ac:dyDescent="0.25">
      <c r="A155" t="s">
        <v>162</v>
      </c>
      <c r="B155" t="s">
        <v>164</v>
      </c>
      <c r="C155" s="3">
        <v>23500</v>
      </c>
    </row>
    <row r="156" spans="1:13" x14ac:dyDescent="0.25">
      <c r="A156" t="s">
        <v>162</v>
      </c>
      <c r="B156" t="s">
        <v>165</v>
      </c>
      <c r="C156" s="3">
        <v>25200</v>
      </c>
    </row>
    <row r="157" spans="1:13" x14ac:dyDescent="0.25">
      <c r="A157" t="s">
        <v>162</v>
      </c>
      <c r="B157" t="s">
        <v>166</v>
      </c>
      <c r="C157" s="3">
        <v>23500</v>
      </c>
    </row>
    <row r="158" spans="1:13" ht="27.95" customHeight="1" x14ac:dyDescent="0.35">
      <c r="A158" s="7" t="s">
        <v>167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</row>
    <row r="159" spans="1:13" x14ac:dyDescent="0.25">
      <c r="A159" t="s">
        <v>167</v>
      </c>
      <c r="B159" t="s">
        <v>168</v>
      </c>
      <c r="C159" s="3">
        <v>9000</v>
      </c>
    </row>
    <row r="160" spans="1:13" x14ac:dyDescent="0.25">
      <c r="A160" t="s">
        <v>167</v>
      </c>
      <c r="B160" t="s">
        <v>163</v>
      </c>
      <c r="C160" s="3">
        <v>23500</v>
      </c>
    </row>
    <row r="161" spans="1:13" x14ac:dyDescent="0.25">
      <c r="A161" t="s">
        <v>167</v>
      </c>
      <c r="B161" t="s">
        <v>169</v>
      </c>
      <c r="C161" s="3">
        <v>25500</v>
      </c>
    </row>
    <row r="162" spans="1:13" x14ac:dyDescent="0.25">
      <c r="A162" t="s">
        <v>167</v>
      </c>
      <c r="B162" t="s">
        <v>170</v>
      </c>
      <c r="C162" s="3">
        <v>25500</v>
      </c>
    </row>
    <row r="163" spans="1:13" x14ac:dyDescent="0.25">
      <c r="A163" t="s">
        <v>167</v>
      </c>
      <c r="B163" t="s">
        <v>171</v>
      </c>
      <c r="C163" s="3">
        <v>25500</v>
      </c>
    </row>
    <row r="164" spans="1:13" x14ac:dyDescent="0.25">
      <c r="A164" t="s">
        <v>167</v>
      </c>
      <c r="B164" t="s">
        <v>172</v>
      </c>
      <c r="C164" s="3">
        <v>25500</v>
      </c>
    </row>
    <row r="165" spans="1:13" x14ac:dyDescent="0.25">
      <c r="A165" t="s">
        <v>167</v>
      </c>
      <c r="B165" t="s">
        <v>173</v>
      </c>
      <c r="C165" s="3">
        <v>23500</v>
      </c>
    </row>
    <row r="166" spans="1:13" x14ac:dyDescent="0.25">
      <c r="A166" t="s">
        <v>167</v>
      </c>
      <c r="B166" t="s">
        <v>174</v>
      </c>
      <c r="C166" s="3">
        <v>25000</v>
      </c>
    </row>
    <row r="167" spans="1:13" x14ac:dyDescent="0.25">
      <c r="A167" t="s">
        <v>167</v>
      </c>
      <c r="B167" t="s">
        <v>175</v>
      </c>
      <c r="C167" s="3">
        <v>32000</v>
      </c>
    </row>
    <row r="168" spans="1:13" x14ac:dyDescent="0.25">
      <c r="A168" t="s">
        <v>167</v>
      </c>
      <c r="B168" t="s">
        <v>176</v>
      </c>
      <c r="C168" s="3">
        <v>25300</v>
      </c>
    </row>
    <row r="169" spans="1:13" ht="27.95" customHeight="1" x14ac:dyDescent="0.35">
      <c r="A169" s="7" t="s">
        <v>177</v>
      </c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</row>
    <row r="170" spans="1:13" x14ac:dyDescent="0.25">
      <c r="A170" t="s">
        <v>177</v>
      </c>
      <c r="B170" t="s">
        <v>178</v>
      </c>
      <c r="C170" s="3">
        <v>22900</v>
      </c>
    </row>
    <row r="171" spans="1:13" x14ac:dyDescent="0.25">
      <c r="A171" t="s">
        <v>177</v>
      </c>
      <c r="B171" t="s">
        <v>179</v>
      </c>
      <c r="C171" s="3">
        <v>22900</v>
      </c>
    </row>
    <row r="172" spans="1:13" x14ac:dyDescent="0.25">
      <c r="A172" t="s">
        <v>177</v>
      </c>
      <c r="B172" t="s">
        <v>180</v>
      </c>
      <c r="C172" s="3">
        <v>22900</v>
      </c>
    </row>
    <row r="173" spans="1:13" x14ac:dyDescent="0.25">
      <c r="A173" t="s">
        <v>177</v>
      </c>
      <c r="B173" t="s">
        <v>181</v>
      </c>
      <c r="C173" s="3">
        <v>22900</v>
      </c>
    </row>
    <row r="174" spans="1:13" x14ac:dyDescent="0.25">
      <c r="A174" t="s">
        <v>177</v>
      </c>
      <c r="B174" t="s">
        <v>182</v>
      </c>
      <c r="C174" s="3">
        <v>6800</v>
      </c>
    </row>
    <row r="175" spans="1:13" x14ac:dyDescent="0.25">
      <c r="A175" t="s">
        <v>177</v>
      </c>
      <c r="B175" t="s">
        <v>183</v>
      </c>
      <c r="C175" s="3">
        <v>6800</v>
      </c>
    </row>
    <row r="176" spans="1:13" x14ac:dyDescent="0.25">
      <c r="A176" t="s">
        <v>177</v>
      </c>
      <c r="B176" t="s">
        <v>184</v>
      </c>
      <c r="C176" s="3">
        <v>6800</v>
      </c>
    </row>
    <row r="177" spans="1:13" x14ac:dyDescent="0.25">
      <c r="A177" t="s">
        <v>177</v>
      </c>
      <c r="B177" t="s">
        <v>185</v>
      </c>
      <c r="C177" s="3">
        <v>6800</v>
      </c>
    </row>
    <row r="178" spans="1:13" x14ac:dyDescent="0.25">
      <c r="A178" t="s">
        <v>177</v>
      </c>
      <c r="B178" t="s">
        <v>186</v>
      </c>
      <c r="C178" s="3">
        <v>6800</v>
      </c>
    </row>
    <row r="179" spans="1:13" x14ac:dyDescent="0.25">
      <c r="A179" t="s">
        <v>177</v>
      </c>
      <c r="B179" t="s">
        <v>187</v>
      </c>
      <c r="C179" s="3">
        <v>6800</v>
      </c>
    </row>
    <row r="180" spans="1:13" x14ac:dyDescent="0.25">
      <c r="A180" t="s">
        <v>177</v>
      </c>
      <c r="B180" t="s">
        <v>188</v>
      </c>
      <c r="C180" s="3">
        <v>8400</v>
      </c>
    </row>
    <row r="181" spans="1:13" x14ac:dyDescent="0.25">
      <c r="A181" t="s">
        <v>177</v>
      </c>
      <c r="B181" t="s">
        <v>189</v>
      </c>
      <c r="C181" s="3">
        <v>8400</v>
      </c>
    </row>
    <row r="182" spans="1:13" x14ac:dyDescent="0.25">
      <c r="A182" t="s">
        <v>177</v>
      </c>
      <c r="B182" t="s">
        <v>190</v>
      </c>
      <c r="C182" s="3">
        <v>8400</v>
      </c>
    </row>
    <row r="183" spans="1:13" x14ac:dyDescent="0.25">
      <c r="A183" t="s">
        <v>177</v>
      </c>
      <c r="B183" t="s">
        <v>191</v>
      </c>
      <c r="C183" s="3">
        <v>15600</v>
      </c>
    </row>
    <row r="184" spans="1:13" x14ac:dyDescent="0.25">
      <c r="A184" t="s">
        <v>177</v>
      </c>
      <c r="B184" t="s">
        <v>192</v>
      </c>
      <c r="C184" s="3">
        <v>15600</v>
      </c>
    </row>
    <row r="185" spans="1:13" x14ac:dyDescent="0.25">
      <c r="A185" t="s">
        <v>177</v>
      </c>
      <c r="B185" t="s">
        <v>193</v>
      </c>
      <c r="C185" s="3">
        <v>15600</v>
      </c>
    </row>
    <row r="186" spans="1:13" x14ac:dyDescent="0.25">
      <c r="A186" t="s">
        <v>177</v>
      </c>
      <c r="B186" t="s">
        <v>194</v>
      </c>
      <c r="C186" s="3">
        <v>15950</v>
      </c>
    </row>
    <row r="187" spans="1:13" x14ac:dyDescent="0.25">
      <c r="A187" t="s">
        <v>177</v>
      </c>
      <c r="B187" t="s">
        <v>195</v>
      </c>
      <c r="C187" s="3">
        <v>15950</v>
      </c>
    </row>
    <row r="188" spans="1:13" x14ac:dyDescent="0.25">
      <c r="A188" t="s">
        <v>177</v>
      </c>
      <c r="B188" t="s">
        <v>196</v>
      </c>
      <c r="C188" s="3">
        <v>15950</v>
      </c>
    </row>
    <row r="189" spans="1:13" x14ac:dyDescent="0.25">
      <c r="A189" t="s">
        <v>177</v>
      </c>
      <c r="B189" t="s">
        <v>197</v>
      </c>
      <c r="C189" s="3">
        <v>15950</v>
      </c>
    </row>
    <row r="190" spans="1:13" x14ac:dyDescent="0.25">
      <c r="A190" t="s">
        <v>177</v>
      </c>
      <c r="B190" t="s">
        <v>198</v>
      </c>
      <c r="C190" s="3">
        <v>7500</v>
      </c>
    </row>
    <row r="191" spans="1:13" x14ac:dyDescent="0.25">
      <c r="A191" t="s">
        <v>177</v>
      </c>
      <c r="B191" t="s">
        <v>199</v>
      </c>
      <c r="C191" s="3">
        <v>24500</v>
      </c>
    </row>
    <row r="192" spans="1:13" ht="27.95" customHeight="1" x14ac:dyDescent="0.35">
      <c r="A192" s="7" t="s">
        <v>200</v>
      </c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</row>
    <row r="193" spans="1:3" x14ac:dyDescent="0.25">
      <c r="A193" t="s">
        <v>200</v>
      </c>
      <c r="B193" t="s">
        <v>201</v>
      </c>
      <c r="C193" s="3">
        <v>24350</v>
      </c>
    </row>
    <row r="194" spans="1:3" x14ac:dyDescent="0.25">
      <c r="A194" t="s">
        <v>200</v>
      </c>
      <c r="B194" t="s">
        <v>202</v>
      </c>
      <c r="C194" s="3">
        <v>24350</v>
      </c>
    </row>
    <row r="195" spans="1:3" x14ac:dyDescent="0.25">
      <c r="A195" t="s">
        <v>200</v>
      </c>
      <c r="B195" t="s">
        <v>203</v>
      </c>
      <c r="C195" s="3">
        <v>24350</v>
      </c>
    </row>
    <row r="196" spans="1:3" x14ac:dyDescent="0.25">
      <c r="A196" t="s">
        <v>200</v>
      </c>
      <c r="B196" t="s">
        <v>204</v>
      </c>
      <c r="C196" s="3">
        <v>24350</v>
      </c>
    </row>
    <row r="197" spans="1:3" x14ac:dyDescent="0.25">
      <c r="A197" t="s">
        <v>200</v>
      </c>
      <c r="B197" t="s">
        <v>205</v>
      </c>
      <c r="C197" s="3">
        <v>24350</v>
      </c>
    </row>
    <row r="198" spans="1:3" x14ac:dyDescent="0.25">
      <c r="A198" t="s">
        <v>200</v>
      </c>
      <c r="B198" t="s">
        <v>206</v>
      </c>
      <c r="C198" s="3">
        <v>24350</v>
      </c>
    </row>
    <row r="199" spans="1:3" x14ac:dyDescent="0.25">
      <c r="A199" t="s">
        <v>200</v>
      </c>
      <c r="B199" t="s">
        <v>207</v>
      </c>
      <c r="C199" s="3">
        <v>24350</v>
      </c>
    </row>
    <row r="200" spans="1:3" x14ac:dyDescent="0.25">
      <c r="A200" t="s">
        <v>200</v>
      </c>
      <c r="B200" t="s">
        <v>208</v>
      </c>
      <c r="C200" s="3">
        <v>24350</v>
      </c>
    </row>
    <row r="201" spans="1:3" x14ac:dyDescent="0.25">
      <c r="A201" t="s">
        <v>200</v>
      </c>
      <c r="B201" t="s">
        <v>209</v>
      </c>
      <c r="C201" s="3">
        <v>24350</v>
      </c>
    </row>
    <row r="202" spans="1:3" x14ac:dyDescent="0.25">
      <c r="A202" t="s">
        <v>200</v>
      </c>
      <c r="B202" t="s">
        <v>210</v>
      </c>
      <c r="C202" s="3">
        <v>24350</v>
      </c>
    </row>
    <row r="203" spans="1:3" x14ac:dyDescent="0.25">
      <c r="A203" t="s">
        <v>200</v>
      </c>
      <c r="B203" t="s">
        <v>211</v>
      </c>
      <c r="C203" s="3">
        <v>24350</v>
      </c>
    </row>
    <row r="204" spans="1:3" x14ac:dyDescent="0.25">
      <c r="A204" t="s">
        <v>200</v>
      </c>
      <c r="B204" t="s">
        <v>212</v>
      </c>
      <c r="C204" s="3">
        <v>24350</v>
      </c>
    </row>
    <row r="205" spans="1:3" x14ac:dyDescent="0.25">
      <c r="A205" t="s">
        <v>200</v>
      </c>
      <c r="B205" t="s">
        <v>213</v>
      </c>
      <c r="C205" s="3">
        <v>8300</v>
      </c>
    </row>
    <row r="206" spans="1:3" x14ac:dyDescent="0.25">
      <c r="A206" t="s">
        <v>200</v>
      </c>
      <c r="B206" t="s">
        <v>214</v>
      </c>
      <c r="C206" s="3">
        <v>8300</v>
      </c>
    </row>
    <row r="207" spans="1:3" x14ac:dyDescent="0.25">
      <c r="A207" t="s">
        <v>200</v>
      </c>
      <c r="B207" t="s">
        <v>215</v>
      </c>
      <c r="C207" s="3">
        <v>8300</v>
      </c>
    </row>
    <row r="208" spans="1:3" x14ac:dyDescent="0.25">
      <c r="A208" t="s">
        <v>200</v>
      </c>
      <c r="B208" t="s">
        <v>216</v>
      </c>
      <c r="C208" s="3">
        <v>8300</v>
      </c>
    </row>
    <row r="209" spans="1:3" x14ac:dyDescent="0.25">
      <c r="A209" t="s">
        <v>200</v>
      </c>
      <c r="B209" t="s">
        <v>217</v>
      </c>
      <c r="C209" s="3">
        <v>8300</v>
      </c>
    </row>
    <row r="210" spans="1:3" x14ac:dyDescent="0.25">
      <c r="A210" t="s">
        <v>200</v>
      </c>
      <c r="B210" t="s">
        <v>218</v>
      </c>
      <c r="C210" s="3">
        <v>8300</v>
      </c>
    </row>
    <row r="211" spans="1:3" x14ac:dyDescent="0.25">
      <c r="A211" t="s">
        <v>200</v>
      </c>
      <c r="B211" t="s">
        <v>219</v>
      </c>
      <c r="C211" s="3">
        <v>8300</v>
      </c>
    </row>
    <row r="212" spans="1:3" x14ac:dyDescent="0.25">
      <c r="A212" t="s">
        <v>200</v>
      </c>
      <c r="B212" t="s">
        <v>220</v>
      </c>
      <c r="C212" s="3">
        <v>8300</v>
      </c>
    </row>
    <row r="213" spans="1:3" x14ac:dyDescent="0.25">
      <c r="A213" t="s">
        <v>200</v>
      </c>
      <c r="B213" t="s">
        <v>221</v>
      </c>
      <c r="C213" s="3">
        <v>8300</v>
      </c>
    </row>
    <row r="214" spans="1:3" x14ac:dyDescent="0.25">
      <c r="A214" t="s">
        <v>200</v>
      </c>
      <c r="B214" t="s">
        <v>222</v>
      </c>
      <c r="C214" s="3">
        <v>8300</v>
      </c>
    </row>
    <row r="215" spans="1:3" x14ac:dyDescent="0.25">
      <c r="A215" t="s">
        <v>200</v>
      </c>
      <c r="B215" t="s">
        <v>223</v>
      </c>
      <c r="C215" s="3">
        <v>8300</v>
      </c>
    </row>
    <row r="216" spans="1:3" x14ac:dyDescent="0.25">
      <c r="A216" t="s">
        <v>200</v>
      </c>
      <c r="B216" t="s">
        <v>224</v>
      </c>
      <c r="C216" s="3">
        <v>8300</v>
      </c>
    </row>
  </sheetData>
  <mergeCells count="14">
    <mergeCell ref="A192:M192"/>
    <mergeCell ref="A7:M7"/>
    <mergeCell ref="A52:M52"/>
    <mergeCell ref="A1:H1"/>
    <mergeCell ref="A108:M108"/>
    <mergeCell ref="A3:H3"/>
    <mergeCell ref="A169:M169"/>
    <mergeCell ref="A126:M126"/>
    <mergeCell ref="A158:M158"/>
    <mergeCell ref="A2:H2"/>
    <mergeCell ref="A88:M88"/>
    <mergeCell ref="A145:M145"/>
    <mergeCell ref="A153:M153"/>
    <mergeCell ref="A30:M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Lo Pequeño Es Hermoso</cp:lastModifiedBy>
  <dcterms:created xsi:type="dcterms:W3CDTF">2026-04-14T13:51:37Z</dcterms:created>
  <dcterms:modified xsi:type="dcterms:W3CDTF">2026-05-24T14:11:01Z</dcterms:modified>
</cp:coreProperties>
</file>